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Шаблон" sheetId="1" state="visible" r:id="rId1"/>
  </sheets>
  <definedNames>
    <definedName name="_xlnm.Print_Titles" localSheetId="0">'Шаблон'!$5:$6</definedName>
    <definedName name="_xlnm.Print_Area" localSheetId="0">'Шаблон'!$A$1:$J$52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9"/>
    </font>
    <font>
      <b val="1"/>
      <sz val="11"/>
    </font>
    <font>
      <b val="1"/>
      <sz val="10"/>
    </font>
    <font>
      <b val="1"/>
      <sz val="12"/>
    </font>
    <font>
      <i val="1"/>
      <color rgb="007F7F7F"/>
      <sz val="8"/>
    </font>
    <font>
      <sz val="8"/>
    </font>
    <font>
      <i val="1"/>
      <sz val="9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FFFF00"/>
      </patternFill>
    </fill>
  </fills>
  <borders count="12">
    <border>
      <left/>
      <right/>
      <top/>
      <bottom/>
      <diagonal/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2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right"/>
    </xf>
    <xf numFmtId="0" fontId="3" fillId="3" borderId="2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vertical="center" wrapText="1"/>
    </xf>
    <xf numFmtId="1" fontId="0" fillId="0" borderId="2" applyAlignment="1" pivotButton="0" quotePrefix="0" xfId="0">
      <alignment horizontal="center" vertical="center" wrapText="1"/>
    </xf>
    <xf numFmtId="9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3" fillId="4" borderId="10" applyAlignment="1" pivotButton="0" quotePrefix="0" xfId="0">
      <alignment horizontal="center" vertical="center" wrapText="1"/>
    </xf>
    <xf numFmtId="0" fontId="4" fillId="4" borderId="10" applyAlignment="1" pivotButton="0" quotePrefix="0" xfId="0">
      <alignment horizontal="center" vertical="center" wrapText="1"/>
    </xf>
    <xf numFmtId="164" fontId="4" fillId="4" borderId="10" applyAlignment="1" pivotButton="0" quotePrefix="0" xfId="0">
      <alignment horizontal="center" vertical="center" wrapText="1"/>
    </xf>
    <xf numFmtId="0" fontId="5" fillId="5" borderId="11" applyAlignment="1" pivotButton="0" quotePrefix="0" xfId="0">
      <alignment horizontal="center" vertical="center" wrapText="1"/>
    </xf>
    <xf numFmtId="0" fontId="6" fillId="5" borderId="11" applyAlignment="1" pivotButton="0" quotePrefix="0" xfId="0">
      <alignment horizontal="center" vertical="center" wrapText="1"/>
    </xf>
    <xf numFmtId="164" fontId="6" fillId="5" borderId="11" applyAlignment="1" pivotButton="0" quotePrefix="0" xfId="0">
      <alignment horizontal="center" vertical="center" wrapText="1"/>
    </xf>
    <xf numFmtId="164" fontId="0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 wrapText="1"/>
    </xf>
    <xf numFmtId="1" fontId="0" fillId="6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ont>
        <color rgb="00808080"/>
      </font>
      <fill>
        <patternFill patternType="solid">
          <fgColor rgb="00BFBFBF"/>
        </patternFill>
      </fill>
    </dxf>
    <dxf>
      <fill>
        <patternFill patternType="solid">
          <fgColor rgb="00EDEDED"/>
        </patternFill>
      </fill>
    </dxf>
    <dxf>
      <font>
        <b val="1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2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0" customWidth="1" min="9" max="9"/>
    <col width="34" customWidth="1" min="10" max="10"/>
    <col hidden="1" width="5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 ht="24" customHeight="1">
      <c r="A1" s="1" t="inlineStr">
        <is>
          <t>ОТЧЁТ МЕДСЕСТРЫ ЗАЛА CERAGEM</t>
        </is>
      </c>
      <c r="M1">
        <f>MATCH(C3,$O$1:$O$12,0)</f>
        <v/>
      </c>
      <c r="O1" t="inlineStr">
        <is>
          <t>Январь</t>
        </is>
      </c>
    </row>
    <row r="2">
      <c r="A2" s="2" t="inlineStr">
        <is>
          <t>Санаторий:</t>
        </is>
      </c>
      <c r="C2" s="3" t="inlineStr"/>
      <c r="D2" s="3" t="n"/>
      <c r="E2" s="3" t="n"/>
      <c r="F2" s="3" t="n"/>
      <c r="G2" s="4" t="inlineStr">
        <is>
          <t>Медсестра:</t>
        </is>
      </c>
      <c r="I2" s="3" t="inlineStr"/>
      <c r="J2" s="3" t="n"/>
      <c r="M2">
        <f>DATE(F3,M1,1)</f>
        <v/>
      </c>
      <c r="O2" t="inlineStr">
        <is>
          <t>Февраль</t>
        </is>
      </c>
    </row>
    <row r="3">
      <c r="A3" s="2" t="inlineStr">
        <is>
          <t>Месяц:</t>
        </is>
      </c>
      <c r="C3" s="3" t="inlineStr">
        <is>
          <t>Ноябрь</t>
        </is>
      </c>
      <c r="D3" s="3" t="n"/>
      <c r="E3" s="4" t="inlineStr">
        <is>
          <t>Год:</t>
        </is>
      </c>
      <c r="F3" s="3" t="n">
        <v>2026</v>
      </c>
      <c r="M3">
        <f>DAY(EOMONTH(M2,0))</f>
        <v/>
      </c>
      <c r="O3" t="inlineStr">
        <is>
          <t>Март</t>
        </is>
      </c>
    </row>
    <row r="4">
      <c r="M4">
        <f>WEEKDAY(M2,2)</f>
        <v/>
      </c>
      <c r="O4" t="inlineStr">
        <is>
          <t>Апрель</t>
        </is>
      </c>
    </row>
    <row r="5" ht="30" customHeight="1">
      <c r="A5" s="5" t="inlineStr">
        <is>
          <t>Дата</t>
        </is>
      </c>
      <c r="B5" s="5" t="inlineStr">
        <is>
          <t>День нед.</t>
        </is>
      </c>
      <c r="C5" s="5" t="inlineStr">
        <is>
          <t>Записано всего, чел.</t>
        </is>
      </c>
      <c r="D5" s="5" t="inlineStr">
        <is>
          <t>Пришло всего, чел.</t>
        </is>
      </c>
      <c r="E5" s="5" t="inlineStr">
        <is>
          <t>Первичных (тест)</t>
        </is>
      </c>
      <c r="F5" s="5" t="inlineStr">
        <is>
          <t>Платно (курс)</t>
        </is>
      </c>
      <c r="G5" s="5" t="inlineStr">
        <is>
          <t>Конверсия за предыдущий день</t>
        </is>
      </c>
      <c r="H5" s="6" t="n"/>
      <c r="I5" s="7" t="n"/>
      <c r="J5" s="5" t="inlineStr">
        <is>
          <t>Комментарии (от врача / тест / курс / реклама)</t>
        </is>
      </c>
      <c r="O5" t="inlineStr">
        <is>
          <t>Май</t>
        </is>
      </c>
    </row>
    <row r="6" ht="42" customHeight="1">
      <c r="A6" s="8" t="n"/>
      <c r="B6" s="8" t="n"/>
      <c r="C6" s="8" t="n"/>
      <c r="D6" s="8" t="n"/>
      <c r="E6" s="8" t="n"/>
      <c r="F6" s="8" t="n"/>
      <c r="G6" s="5" t="inlineStr">
        <is>
          <t>Из вчерашних пробных купили курс</t>
        </is>
      </c>
      <c r="H6" s="5" t="inlineStr">
        <is>
          <t>Вчерашних пробных всего</t>
        </is>
      </c>
      <c r="I6" s="5" t="inlineStr">
        <is>
          <t>Конверсия, %</t>
        </is>
      </c>
      <c r="J6" s="8" t="n"/>
      <c r="O6" t="inlineStr">
        <is>
          <t>Июнь</t>
        </is>
      </c>
    </row>
    <row r="7" ht="16" customHeight="1">
      <c r="A7" s="9" t="n">
        <v>1</v>
      </c>
      <c r="B7" s="9">
        <f>IF(A7&gt;$M$3,"",CHOOSE(WEEKDAY(DATE($F$3,$M$1,A7),2),"пн","вт","ср","чт","пт","сб","вс"))</f>
        <v/>
      </c>
      <c r="C7" s="10" t="n"/>
      <c r="D7" s="10" t="n"/>
      <c r="E7" s="10" t="n"/>
      <c r="F7" s="10" t="n"/>
      <c r="G7" s="10" t="n"/>
      <c r="H7" s="10" t="n"/>
      <c r="I7" s="11">
        <f>IF(N(H7)&gt;0,G7/H7,"")</f>
        <v/>
      </c>
      <c r="J7" s="12" t="n"/>
      <c r="K7">
        <f>IF(A7&gt;$M$3,"",INT((A7+$M$4-2)/7)+1)</f>
        <v/>
      </c>
      <c r="O7" t="inlineStr">
        <is>
          <t>Июль</t>
        </is>
      </c>
    </row>
    <row r="8" ht="16" customHeight="1">
      <c r="A8" s="9" t="n">
        <v>2</v>
      </c>
      <c r="B8" s="9">
        <f>IF(A8&gt;$M$3,"",CHOOSE(WEEKDAY(DATE($F$3,$M$1,A8),2),"пн","вт","ср","чт","пт","сб","вс"))</f>
        <v/>
      </c>
      <c r="C8" s="10" t="n"/>
      <c r="D8" s="10" t="n"/>
      <c r="E8" s="10" t="n"/>
      <c r="F8" s="10" t="n"/>
      <c r="G8" s="10" t="n"/>
      <c r="H8" s="10" t="n"/>
      <c r="I8" s="11">
        <f>IF(N(H8)&gt;0,G8/H8,"")</f>
        <v/>
      </c>
      <c r="J8" s="12" t="n"/>
      <c r="K8">
        <f>IF(A8&gt;$M$3,"",INT((A8+$M$4-2)/7)+1)</f>
        <v/>
      </c>
      <c r="O8" t="inlineStr">
        <is>
          <t>Август</t>
        </is>
      </c>
    </row>
    <row r="9" ht="16" customHeight="1">
      <c r="A9" s="9" t="n">
        <v>3</v>
      </c>
      <c r="B9" s="9">
        <f>IF(A9&gt;$M$3,"",CHOOSE(WEEKDAY(DATE($F$3,$M$1,A9),2),"пн","вт","ср","чт","пт","сб","вс"))</f>
        <v/>
      </c>
      <c r="C9" s="10" t="n"/>
      <c r="D9" s="10" t="n"/>
      <c r="E9" s="10" t="n"/>
      <c r="F9" s="10" t="n"/>
      <c r="G9" s="10" t="n"/>
      <c r="H9" s="10" t="n"/>
      <c r="I9" s="11">
        <f>IF(N(H9)&gt;0,G9/H9,"")</f>
        <v/>
      </c>
      <c r="J9" s="12" t="n"/>
      <c r="K9">
        <f>IF(A9&gt;$M$3,"",INT((A9+$M$4-2)/7)+1)</f>
        <v/>
      </c>
      <c r="O9" t="inlineStr">
        <is>
          <t>Сентябрь</t>
        </is>
      </c>
    </row>
    <row r="10" ht="16" customHeight="1">
      <c r="A10" s="9" t="n">
        <v>4</v>
      </c>
      <c r="B10" s="9">
        <f>IF(A10&gt;$M$3,"",CHOOSE(WEEKDAY(DATE($F$3,$M$1,A10),2),"пн","вт","ср","чт","пт","сб","вс"))</f>
        <v/>
      </c>
      <c r="C10" s="10" t="n"/>
      <c r="D10" s="10" t="n"/>
      <c r="E10" s="10" t="n"/>
      <c r="F10" s="10" t="n"/>
      <c r="G10" s="10" t="n"/>
      <c r="H10" s="10" t="n"/>
      <c r="I10" s="11">
        <f>IF(N(H10)&gt;0,G10/H10,"")</f>
        <v/>
      </c>
      <c r="J10" s="12" t="n"/>
      <c r="K10">
        <f>IF(A10&gt;$M$3,"",INT((A10+$M$4-2)/7)+1)</f>
        <v/>
      </c>
      <c r="O10" t="inlineStr">
        <is>
          <t>Октябрь</t>
        </is>
      </c>
    </row>
    <row r="11" ht="16" customHeight="1">
      <c r="A11" s="9" t="n">
        <v>5</v>
      </c>
      <c r="B11" s="9">
        <f>IF(A11&gt;$M$3,"",CHOOSE(WEEKDAY(DATE($F$3,$M$1,A11),2),"пн","вт","ср","чт","пт","сб","вс"))</f>
        <v/>
      </c>
      <c r="C11" s="10" t="n"/>
      <c r="D11" s="10" t="n"/>
      <c r="E11" s="10" t="n"/>
      <c r="F11" s="10" t="n"/>
      <c r="G11" s="10" t="n"/>
      <c r="H11" s="10" t="n"/>
      <c r="I11" s="11">
        <f>IF(N(H11)&gt;0,G11/H11,"")</f>
        <v/>
      </c>
      <c r="J11" s="12" t="n"/>
      <c r="K11">
        <f>IF(A11&gt;$M$3,"",INT((A11+$M$4-2)/7)+1)</f>
        <v/>
      </c>
      <c r="O11" t="inlineStr">
        <is>
          <t>Ноябрь</t>
        </is>
      </c>
    </row>
    <row r="12" ht="16" customHeight="1">
      <c r="A12" s="9" t="n">
        <v>6</v>
      </c>
      <c r="B12" s="9">
        <f>IF(A12&gt;$M$3,"",CHOOSE(WEEKDAY(DATE($F$3,$M$1,A12),2),"пн","вт","ср","чт","пт","сб","вс"))</f>
        <v/>
      </c>
      <c r="C12" s="10" t="n"/>
      <c r="D12" s="10" t="n"/>
      <c r="E12" s="10" t="n"/>
      <c r="F12" s="10" t="n"/>
      <c r="G12" s="10" t="n"/>
      <c r="H12" s="10" t="n"/>
      <c r="I12" s="11">
        <f>IF(N(H12)&gt;0,G12/H12,"")</f>
        <v/>
      </c>
      <c r="J12" s="12" t="n"/>
      <c r="K12">
        <f>IF(A12&gt;$M$3,"",INT((A12+$M$4-2)/7)+1)</f>
        <v/>
      </c>
      <c r="O12" t="inlineStr">
        <is>
          <t>Декабрь</t>
        </is>
      </c>
    </row>
    <row r="13" ht="16" customHeight="1">
      <c r="A13" s="9" t="n">
        <v>7</v>
      </c>
      <c r="B13" s="9">
        <f>IF(A13&gt;$M$3,"",CHOOSE(WEEKDAY(DATE($F$3,$M$1,A13),2),"пн","вт","ср","чт","пт","сб","вс"))</f>
        <v/>
      </c>
      <c r="C13" s="10" t="n"/>
      <c r="D13" s="10" t="n"/>
      <c r="E13" s="10" t="n"/>
      <c r="F13" s="10" t="n"/>
      <c r="G13" s="10" t="n"/>
      <c r="H13" s="10" t="n"/>
      <c r="I13" s="11">
        <f>IF(N(H13)&gt;0,G13/H13,"")</f>
        <v/>
      </c>
      <c r="J13" s="12" t="n"/>
      <c r="K13">
        <f>IF(A13&gt;$M$3,"",INT((A13+$M$4-2)/7)+1)</f>
        <v/>
      </c>
    </row>
    <row r="14" ht="20" customHeight="1">
      <c r="A14" s="13" t="inlineStr">
        <is>
          <t>Итого 1 нед. (1–7)</t>
        </is>
      </c>
      <c r="B14" s="14" t="n"/>
      <c r="C14" s="14">
        <f>SUM(C7:C13)</f>
        <v/>
      </c>
      <c r="D14" s="14">
        <f>SUM(D7:D13)</f>
        <v/>
      </c>
      <c r="E14" s="14">
        <f>SUM(E7:E13)</f>
        <v/>
      </c>
      <c r="F14" s="14">
        <f>SUM(F7:F13)</f>
        <v/>
      </c>
      <c r="G14" s="14">
        <f>SUM(G7:G13)</f>
        <v/>
      </c>
      <c r="H14" s="14">
        <f>SUM(H7:H13)</f>
        <v/>
      </c>
      <c r="I14" s="15">
        <f>IF(H14&gt;0,G14/H14,"")</f>
        <v/>
      </c>
      <c r="J14" s="13">
        <f>G14&amp;" – "&amp;H14&amp;IF(H14&gt;0,"  ("&amp;TEXT(I14,"0.0%")&amp;")","")</f>
        <v/>
      </c>
    </row>
    <row r="15" ht="16" customHeight="1">
      <c r="A15" s="9" t="n">
        <v>8</v>
      </c>
      <c r="B15" s="9">
        <f>IF(A15&gt;$M$3,"",CHOOSE(WEEKDAY(DATE($F$3,$M$1,A15),2),"пн","вт","ср","чт","пт","сб","вс"))</f>
        <v/>
      </c>
      <c r="C15" s="10" t="n"/>
      <c r="D15" s="10" t="n"/>
      <c r="E15" s="10" t="n"/>
      <c r="F15" s="10" t="n"/>
      <c r="G15" s="10" t="n"/>
      <c r="H15" s="10" t="n"/>
      <c r="I15" s="11">
        <f>IF(N(H15)&gt;0,G15/H15,"")</f>
        <v/>
      </c>
      <c r="J15" s="12" t="n"/>
      <c r="K15">
        <f>IF(A15&gt;$M$3,"",INT((A15+$M$4-2)/7)+1)</f>
        <v/>
      </c>
    </row>
    <row r="16" ht="16" customHeight="1">
      <c r="A16" s="9" t="n">
        <v>9</v>
      </c>
      <c r="B16" s="9">
        <f>IF(A16&gt;$M$3,"",CHOOSE(WEEKDAY(DATE($F$3,$M$1,A16),2),"пн","вт","ср","чт","пт","сб","вс"))</f>
        <v/>
      </c>
      <c r="C16" s="10" t="n"/>
      <c r="D16" s="10" t="n"/>
      <c r="E16" s="10" t="n"/>
      <c r="F16" s="10" t="n"/>
      <c r="G16" s="10" t="n"/>
      <c r="H16" s="10" t="n"/>
      <c r="I16" s="11">
        <f>IF(N(H16)&gt;0,G16/H16,"")</f>
        <v/>
      </c>
      <c r="J16" s="12" t="n"/>
      <c r="K16">
        <f>IF(A16&gt;$M$3,"",INT((A16+$M$4-2)/7)+1)</f>
        <v/>
      </c>
    </row>
    <row r="17" ht="16" customHeight="1">
      <c r="A17" s="9" t="n">
        <v>10</v>
      </c>
      <c r="B17" s="9">
        <f>IF(A17&gt;$M$3,"",CHOOSE(WEEKDAY(DATE($F$3,$M$1,A17),2),"пн","вт","ср","чт","пт","сб","вс"))</f>
        <v/>
      </c>
      <c r="C17" s="10" t="n"/>
      <c r="D17" s="10" t="n"/>
      <c r="E17" s="10" t="n"/>
      <c r="F17" s="10" t="n"/>
      <c r="G17" s="10" t="n"/>
      <c r="H17" s="10" t="n"/>
      <c r="I17" s="11">
        <f>IF(N(H17)&gt;0,G17/H17,"")</f>
        <v/>
      </c>
      <c r="J17" s="12" t="n"/>
      <c r="K17">
        <f>IF(A17&gt;$M$3,"",INT((A17+$M$4-2)/7)+1)</f>
        <v/>
      </c>
    </row>
    <row r="18" ht="16" customHeight="1">
      <c r="A18" s="9" t="n">
        <v>11</v>
      </c>
      <c r="B18" s="9">
        <f>IF(A18&gt;$M$3,"",CHOOSE(WEEKDAY(DATE($F$3,$M$1,A18),2),"пн","вт","ср","чт","пт","сб","вс"))</f>
        <v/>
      </c>
      <c r="C18" s="10" t="n"/>
      <c r="D18" s="10" t="n"/>
      <c r="E18" s="10" t="n"/>
      <c r="F18" s="10" t="n"/>
      <c r="G18" s="10" t="n"/>
      <c r="H18" s="10" t="n"/>
      <c r="I18" s="11">
        <f>IF(N(H18)&gt;0,G18/H18,"")</f>
        <v/>
      </c>
      <c r="J18" s="12" t="n"/>
      <c r="K18">
        <f>IF(A18&gt;$M$3,"",INT((A18+$M$4-2)/7)+1)</f>
        <v/>
      </c>
    </row>
    <row r="19" ht="16" customHeight="1">
      <c r="A19" s="9" t="n">
        <v>12</v>
      </c>
      <c r="B19" s="9">
        <f>IF(A19&gt;$M$3,"",CHOOSE(WEEKDAY(DATE($F$3,$M$1,A19),2),"пн","вт","ср","чт","пт","сб","вс"))</f>
        <v/>
      </c>
      <c r="C19" s="10" t="n"/>
      <c r="D19" s="10" t="n"/>
      <c r="E19" s="10" t="n"/>
      <c r="F19" s="10" t="n"/>
      <c r="G19" s="10" t="n"/>
      <c r="H19" s="10" t="n"/>
      <c r="I19" s="11">
        <f>IF(N(H19)&gt;0,G19/H19,"")</f>
        <v/>
      </c>
      <c r="J19" s="12" t="n"/>
      <c r="K19">
        <f>IF(A19&gt;$M$3,"",INT((A19+$M$4-2)/7)+1)</f>
        <v/>
      </c>
    </row>
    <row r="20" ht="16" customHeight="1">
      <c r="A20" s="9" t="n">
        <v>13</v>
      </c>
      <c r="B20" s="9">
        <f>IF(A20&gt;$M$3,"",CHOOSE(WEEKDAY(DATE($F$3,$M$1,A20),2),"пн","вт","ср","чт","пт","сб","вс"))</f>
        <v/>
      </c>
      <c r="C20" s="10" t="n"/>
      <c r="D20" s="10" t="n"/>
      <c r="E20" s="10" t="n"/>
      <c r="F20" s="10" t="n"/>
      <c r="G20" s="10" t="n"/>
      <c r="H20" s="10" t="n"/>
      <c r="I20" s="11">
        <f>IF(N(H20)&gt;0,G20/H20,"")</f>
        <v/>
      </c>
      <c r="J20" s="12" t="n"/>
      <c r="K20">
        <f>IF(A20&gt;$M$3,"",INT((A20+$M$4-2)/7)+1)</f>
        <v/>
      </c>
    </row>
    <row r="21" ht="16" customHeight="1">
      <c r="A21" s="9" t="n">
        <v>14</v>
      </c>
      <c r="B21" s="9">
        <f>IF(A21&gt;$M$3,"",CHOOSE(WEEKDAY(DATE($F$3,$M$1,A21),2),"пн","вт","ср","чт","пт","сб","вс"))</f>
        <v/>
      </c>
      <c r="C21" s="10" t="n"/>
      <c r="D21" s="10" t="n"/>
      <c r="E21" s="10" t="n"/>
      <c r="F21" s="10" t="n"/>
      <c r="G21" s="10" t="n"/>
      <c r="H21" s="10" t="n"/>
      <c r="I21" s="11">
        <f>IF(N(H21)&gt;0,G21/H21,"")</f>
        <v/>
      </c>
      <c r="J21" s="12" t="n"/>
      <c r="K21">
        <f>IF(A21&gt;$M$3,"",INT((A21+$M$4-2)/7)+1)</f>
        <v/>
      </c>
    </row>
    <row r="22" ht="20" customHeight="1">
      <c r="A22" s="13" t="inlineStr">
        <is>
          <t>Итого 2 нед. (8–14)</t>
        </is>
      </c>
      <c r="B22" s="14" t="n"/>
      <c r="C22" s="14">
        <f>SUM(C15:C21)</f>
        <v/>
      </c>
      <c r="D22" s="14">
        <f>SUM(D15:D21)</f>
        <v/>
      </c>
      <c r="E22" s="14">
        <f>SUM(E15:E21)</f>
        <v/>
      </c>
      <c r="F22" s="14">
        <f>SUM(F15:F21)</f>
        <v/>
      </c>
      <c r="G22" s="14">
        <f>SUM(G15:G21)</f>
        <v/>
      </c>
      <c r="H22" s="14">
        <f>SUM(H15:H21)</f>
        <v/>
      </c>
      <c r="I22" s="15">
        <f>IF(H22&gt;0,G22/H22,"")</f>
        <v/>
      </c>
      <c r="J22" s="13">
        <f>G22&amp;" – "&amp;H22&amp;IF(H22&gt;0,"  ("&amp;TEXT(I22,"0.0%")&amp;")","")</f>
        <v/>
      </c>
    </row>
    <row r="23" ht="16" customHeight="1">
      <c r="A23" s="9" t="n">
        <v>15</v>
      </c>
      <c r="B23" s="9">
        <f>IF(A23&gt;$M$3,"",CHOOSE(WEEKDAY(DATE($F$3,$M$1,A23),2),"пн","вт","ср","чт","пт","сб","вс"))</f>
        <v/>
      </c>
      <c r="C23" s="10" t="n"/>
      <c r="D23" s="10" t="n"/>
      <c r="E23" s="10" t="n"/>
      <c r="F23" s="10" t="n"/>
      <c r="G23" s="10" t="n"/>
      <c r="H23" s="10" t="n"/>
      <c r="I23" s="11">
        <f>IF(N(H23)&gt;0,G23/H23,"")</f>
        <v/>
      </c>
      <c r="J23" s="12" t="n"/>
      <c r="K23">
        <f>IF(A23&gt;$M$3,"",INT((A23+$M$4-2)/7)+1)</f>
        <v/>
      </c>
    </row>
    <row r="24" ht="16" customHeight="1">
      <c r="A24" s="9" t="n">
        <v>16</v>
      </c>
      <c r="B24" s="9">
        <f>IF(A24&gt;$M$3,"",CHOOSE(WEEKDAY(DATE($F$3,$M$1,A24),2),"пн","вт","ср","чт","пт","сб","вс"))</f>
        <v/>
      </c>
      <c r="C24" s="10" t="n"/>
      <c r="D24" s="10" t="n"/>
      <c r="E24" s="10" t="n"/>
      <c r="F24" s="10" t="n"/>
      <c r="G24" s="10" t="n"/>
      <c r="H24" s="10" t="n"/>
      <c r="I24" s="11">
        <f>IF(N(H24)&gt;0,G24/H24,"")</f>
        <v/>
      </c>
      <c r="J24" s="12" t="n"/>
      <c r="K24">
        <f>IF(A24&gt;$M$3,"",INT((A24+$M$4-2)/7)+1)</f>
        <v/>
      </c>
    </row>
    <row r="25" ht="16" customHeight="1">
      <c r="A25" s="9" t="n">
        <v>17</v>
      </c>
      <c r="B25" s="9">
        <f>IF(A25&gt;$M$3,"",CHOOSE(WEEKDAY(DATE($F$3,$M$1,A25),2),"пн","вт","ср","чт","пт","сб","вс"))</f>
        <v/>
      </c>
      <c r="C25" s="10" t="n"/>
      <c r="D25" s="10" t="n"/>
      <c r="E25" s="10" t="n"/>
      <c r="F25" s="10" t="n"/>
      <c r="G25" s="10" t="n"/>
      <c r="H25" s="10" t="n"/>
      <c r="I25" s="11">
        <f>IF(N(H25)&gt;0,G25/H25,"")</f>
        <v/>
      </c>
      <c r="J25" s="12" t="n"/>
      <c r="K25">
        <f>IF(A25&gt;$M$3,"",INT((A25+$M$4-2)/7)+1)</f>
        <v/>
      </c>
    </row>
    <row r="26" ht="16" customHeight="1">
      <c r="A26" s="9" t="n">
        <v>18</v>
      </c>
      <c r="B26" s="9">
        <f>IF(A26&gt;$M$3,"",CHOOSE(WEEKDAY(DATE($F$3,$M$1,A26),2),"пн","вт","ср","чт","пт","сб","вс"))</f>
        <v/>
      </c>
      <c r="C26" s="10" t="n"/>
      <c r="D26" s="10" t="n"/>
      <c r="E26" s="10" t="n"/>
      <c r="F26" s="10" t="n"/>
      <c r="G26" s="10" t="n"/>
      <c r="H26" s="10" t="n"/>
      <c r="I26" s="11">
        <f>IF(N(H26)&gt;0,G26/H26,"")</f>
        <v/>
      </c>
      <c r="J26" s="12" t="n"/>
      <c r="K26">
        <f>IF(A26&gt;$M$3,"",INT((A26+$M$4-2)/7)+1)</f>
        <v/>
      </c>
    </row>
    <row r="27" ht="16" customHeight="1">
      <c r="A27" s="9" t="n">
        <v>19</v>
      </c>
      <c r="B27" s="9">
        <f>IF(A27&gt;$M$3,"",CHOOSE(WEEKDAY(DATE($F$3,$M$1,A27),2),"пн","вт","ср","чт","пт","сб","вс"))</f>
        <v/>
      </c>
      <c r="C27" s="10" t="n"/>
      <c r="D27" s="10" t="n"/>
      <c r="E27" s="10" t="n"/>
      <c r="F27" s="10" t="n"/>
      <c r="G27" s="10" t="n"/>
      <c r="H27" s="10" t="n"/>
      <c r="I27" s="11">
        <f>IF(N(H27)&gt;0,G27/H27,"")</f>
        <v/>
      </c>
      <c r="J27" s="12" t="n"/>
      <c r="K27">
        <f>IF(A27&gt;$M$3,"",INT((A27+$M$4-2)/7)+1)</f>
        <v/>
      </c>
    </row>
    <row r="28" ht="16" customHeight="1">
      <c r="A28" s="9" t="n">
        <v>20</v>
      </c>
      <c r="B28" s="9">
        <f>IF(A28&gt;$M$3,"",CHOOSE(WEEKDAY(DATE($F$3,$M$1,A28),2),"пн","вт","ср","чт","пт","сб","вс"))</f>
        <v/>
      </c>
      <c r="C28" s="10" t="n"/>
      <c r="D28" s="10" t="n"/>
      <c r="E28" s="10" t="n"/>
      <c r="F28" s="10" t="n"/>
      <c r="G28" s="10" t="n"/>
      <c r="H28" s="10" t="n"/>
      <c r="I28" s="11">
        <f>IF(N(H28)&gt;0,G28/H28,"")</f>
        <v/>
      </c>
      <c r="J28" s="12" t="n"/>
      <c r="K28">
        <f>IF(A28&gt;$M$3,"",INT((A28+$M$4-2)/7)+1)</f>
        <v/>
      </c>
    </row>
    <row r="29" ht="16" customHeight="1">
      <c r="A29" s="9" t="n">
        <v>21</v>
      </c>
      <c r="B29" s="9">
        <f>IF(A29&gt;$M$3,"",CHOOSE(WEEKDAY(DATE($F$3,$M$1,A29),2),"пн","вт","ср","чт","пт","сб","вс"))</f>
        <v/>
      </c>
      <c r="C29" s="10" t="n"/>
      <c r="D29" s="10" t="n"/>
      <c r="E29" s="10" t="n"/>
      <c r="F29" s="10" t="n"/>
      <c r="G29" s="10" t="n"/>
      <c r="H29" s="10" t="n"/>
      <c r="I29" s="11">
        <f>IF(N(H29)&gt;0,G29/H29,"")</f>
        <v/>
      </c>
      <c r="J29" s="12" t="n"/>
      <c r="K29">
        <f>IF(A29&gt;$M$3,"",INT((A29+$M$4-2)/7)+1)</f>
        <v/>
      </c>
    </row>
    <row r="30" ht="20" customHeight="1">
      <c r="A30" s="13" t="inlineStr">
        <is>
          <t>Итого 3 нед. (15–21)</t>
        </is>
      </c>
      <c r="B30" s="14" t="n"/>
      <c r="C30" s="14">
        <f>SUM(C23:C29)</f>
        <v/>
      </c>
      <c r="D30" s="14">
        <f>SUM(D23:D29)</f>
        <v/>
      </c>
      <c r="E30" s="14">
        <f>SUM(E23:E29)</f>
        <v/>
      </c>
      <c r="F30" s="14">
        <f>SUM(F23:F29)</f>
        <v/>
      </c>
      <c r="G30" s="14">
        <f>SUM(G23:G29)</f>
        <v/>
      </c>
      <c r="H30" s="14">
        <f>SUM(H23:H29)</f>
        <v/>
      </c>
      <c r="I30" s="15">
        <f>IF(H30&gt;0,G30/H30,"")</f>
        <v/>
      </c>
      <c r="J30" s="13">
        <f>G30&amp;" – "&amp;H30&amp;IF(H30&gt;0,"  ("&amp;TEXT(I30,"0.0%")&amp;")","")</f>
        <v/>
      </c>
    </row>
    <row r="31" ht="16" customHeight="1">
      <c r="A31" s="9" t="n">
        <v>22</v>
      </c>
      <c r="B31" s="9">
        <f>IF(A31&gt;$M$3,"",CHOOSE(WEEKDAY(DATE($F$3,$M$1,A31),2),"пн","вт","ср","чт","пт","сб","вс"))</f>
        <v/>
      </c>
      <c r="C31" s="10" t="n"/>
      <c r="D31" s="10" t="n"/>
      <c r="E31" s="10" t="n"/>
      <c r="F31" s="10" t="n"/>
      <c r="G31" s="10" t="n"/>
      <c r="H31" s="10" t="n"/>
      <c r="I31" s="11">
        <f>IF(N(H31)&gt;0,G31/H31,"")</f>
        <v/>
      </c>
      <c r="J31" s="12" t="n"/>
      <c r="K31">
        <f>IF(A31&gt;$M$3,"",INT((A31+$M$4-2)/7)+1)</f>
        <v/>
      </c>
    </row>
    <row r="32" ht="16" customHeight="1">
      <c r="A32" s="9" t="n">
        <v>23</v>
      </c>
      <c r="B32" s="9">
        <f>IF(A32&gt;$M$3,"",CHOOSE(WEEKDAY(DATE($F$3,$M$1,A32),2),"пн","вт","ср","чт","пт","сб","вс"))</f>
        <v/>
      </c>
      <c r="C32" s="10" t="n"/>
      <c r="D32" s="10" t="n"/>
      <c r="E32" s="10" t="n"/>
      <c r="F32" s="10" t="n"/>
      <c r="G32" s="10" t="n"/>
      <c r="H32" s="10" t="n"/>
      <c r="I32" s="11">
        <f>IF(N(H32)&gt;0,G32/H32,"")</f>
        <v/>
      </c>
      <c r="J32" s="12" t="n"/>
      <c r="K32">
        <f>IF(A32&gt;$M$3,"",INT((A32+$M$4-2)/7)+1)</f>
        <v/>
      </c>
    </row>
    <row r="33" ht="16" customHeight="1">
      <c r="A33" s="9" t="n">
        <v>24</v>
      </c>
      <c r="B33" s="9">
        <f>IF(A33&gt;$M$3,"",CHOOSE(WEEKDAY(DATE($F$3,$M$1,A33),2),"пн","вт","ср","чт","пт","сб","вс"))</f>
        <v/>
      </c>
      <c r="C33" s="10" t="n"/>
      <c r="D33" s="10" t="n"/>
      <c r="E33" s="10" t="n"/>
      <c r="F33" s="10" t="n"/>
      <c r="G33" s="10" t="n"/>
      <c r="H33" s="10" t="n"/>
      <c r="I33" s="11">
        <f>IF(N(H33)&gt;0,G33/H33,"")</f>
        <v/>
      </c>
      <c r="J33" s="12" t="n"/>
      <c r="K33">
        <f>IF(A33&gt;$M$3,"",INT((A33+$M$4-2)/7)+1)</f>
        <v/>
      </c>
    </row>
    <row r="34" ht="16" customHeight="1">
      <c r="A34" s="9" t="n">
        <v>25</v>
      </c>
      <c r="B34" s="9">
        <f>IF(A34&gt;$M$3,"",CHOOSE(WEEKDAY(DATE($F$3,$M$1,A34),2),"пн","вт","ср","чт","пт","сб","вс"))</f>
        <v/>
      </c>
      <c r="C34" s="10" t="n"/>
      <c r="D34" s="10" t="n"/>
      <c r="E34" s="10" t="n"/>
      <c r="F34" s="10" t="n"/>
      <c r="G34" s="10" t="n"/>
      <c r="H34" s="10" t="n"/>
      <c r="I34" s="11">
        <f>IF(N(H34)&gt;0,G34/H34,"")</f>
        <v/>
      </c>
      <c r="J34" s="12" t="n"/>
      <c r="K34">
        <f>IF(A34&gt;$M$3,"",INT((A34+$M$4-2)/7)+1)</f>
        <v/>
      </c>
    </row>
    <row r="35" ht="16" customHeight="1">
      <c r="A35" s="9" t="n">
        <v>26</v>
      </c>
      <c r="B35" s="9">
        <f>IF(A35&gt;$M$3,"",CHOOSE(WEEKDAY(DATE($F$3,$M$1,A35),2),"пн","вт","ср","чт","пт","сб","вс"))</f>
        <v/>
      </c>
      <c r="C35" s="10" t="n"/>
      <c r="D35" s="10" t="n"/>
      <c r="E35" s="10" t="n"/>
      <c r="F35" s="10" t="n"/>
      <c r="G35" s="10" t="n"/>
      <c r="H35" s="10" t="n"/>
      <c r="I35" s="11">
        <f>IF(N(H35)&gt;0,G35/H35,"")</f>
        <v/>
      </c>
      <c r="J35" s="12" t="n"/>
      <c r="K35">
        <f>IF(A35&gt;$M$3,"",INT((A35+$M$4-2)/7)+1)</f>
        <v/>
      </c>
    </row>
    <row r="36" ht="16" customHeight="1">
      <c r="A36" s="9" t="n">
        <v>27</v>
      </c>
      <c r="B36" s="9">
        <f>IF(A36&gt;$M$3,"",CHOOSE(WEEKDAY(DATE($F$3,$M$1,A36),2),"пн","вт","ср","чт","пт","сб","вс"))</f>
        <v/>
      </c>
      <c r="C36" s="10" t="n"/>
      <c r="D36" s="10" t="n"/>
      <c r="E36" s="10" t="n"/>
      <c r="F36" s="10" t="n"/>
      <c r="G36" s="10" t="n"/>
      <c r="H36" s="10" t="n"/>
      <c r="I36" s="11">
        <f>IF(N(H36)&gt;0,G36/H36,"")</f>
        <v/>
      </c>
      <c r="J36" s="12" t="n"/>
      <c r="K36">
        <f>IF(A36&gt;$M$3,"",INT((A36+$M$4-2)/7)+1)</f>
        <v/>
      </c>
    </row>
    <row r="37" ht="16" customHeight="1">
      <c r="A37" s="9" t="n">
        <v>28</v>
      </c>
      <c r="B37" s="9">
        <f>IF(A37&gt;$M$3,"",CHOOSE(WEEKDAY(DATE($F$3,$M$1,A37),2),"пн","вт","ср","чт","пт","сб","вс"))</f>
        <v/>
      </c>
      <c r="C37" s="10" t="n"/>
      <c r="D37" s="10" t="n"/>
      <c r="E37" s="10" t="n"/>
      <c r="F37" s="10" t="n"/>
      <c r="G37" s="10" t="n"/>
      <c r="H37" s="10" t="n"/>
      <c r="I37" s="11">
        <f>IF(N(H37)&gt;0,G37/H37,"")</f>
        <v/>
      </c>
      <c r="J37" s="12" t="n"/>
      <c r="K37">
        <f>IF(A37&gt;$M$3,"",INT((A37+$M$4-2)/7)+1)</f>
        <v/>
      </c>
    </row>
    <row r="38" ht="20" customHeight="1">
      <c r="A38" s="13" t="inlineStr">
        <is>
          <t>Итого 4 нед. (22–28)</t>
        </is>
      </c>
      <c r="B38" s="14" t="n"/>
      <c r="C38" s="14">
        <f>SUM(C31:C37)</f>
        <v/>
      </c>
      <c r="D38" s="14">
        <f>SUM(D31:D37)</f>
        <v/>
      </c>
      <c r="E38" s="14">
        <f>SUM(E31:E37)</f>
        <v/>
      </c>
      <c r="F38" s="14">
        <f>SUM(F31:F37)</f>
        <v/>
      </c>
      <c r="G38" s="14">
        <f>SUM(G31:G37)</f>
        <v/>
      </c>
      <c r="H38" s="14">
        <f>SUM(H31:H37)</f>
        <v/>
      </c>
      <c r="I38" s="15">
        <f>IF(H38&gt;0,G38/H38,"")</f>
        <v/>
      </c>
      <c r="J38" s="13">
        <f>G38&amp;" – "&amp;H38&amp;IF(H38&gt;0,"  ("&amp;TEXT(I38,"0.0%")&amp;")","")</f>
        <v/>
      </c>
    </row>
    <row r="39" ht="16" customHeight="1">
      <c r="A39" s="9" t="n">
        <v>29</v>
      </c>
      <c r="B39" s="9">
        <f>IF(A39&gt;$M$3,"",CHOOSE(WEEKDAY(DATE($F$3,$M$1,A39),2),"пн","вт","ср","чт","пт","сб","вс"))</f>
        <v/>
      </c>
      <c r="C39" s="10" t="n"/>
      <c r="D39" s="10" t="n"/>
      <c r="E39" s="10" t="n"/>
      <c r="F39" s="10" t="n"/>
      <c r="G39" s="10" t="n"/>
      <c r="H39" s="10" t="n"/>
      <c r="I39" s="11">
        <f>IF(N(H39)&gt;0,G39/H39,"")</f>
        <v/>
      </c>
      <c r="J39" s="12" t="n"/>
      <c r="K39">
        <f>IF(A39&gt;$M$3,"",INT((A39+$M$4-2)/7)+1)</f>
        <v/>
      </c>
    </row>
    <row r="40" ht="16" customHeight="1">
      <c r="A40" s="9" t="n">
        <v>30</v>
      </c>
      <c r="B40" s="9">
        <f>IF(A40&gt;$M$3,"",CHOOSE(WEEKDAY(DATE($F$3,$M$1,A40),2),"пн","вт","ср","чт","пт","сб","вс"))</f>
        <v/>
      </c>
      <c r="C40" s="10" t="n"/>
      <c r="D40" s="10" t="n"/>
      <c r="E40" s="10" t="n"/>
      <c r="F40" s="10" t="n"/>
      <c r="G40" s="10" t="n"/>
      <c r="H40" s="10" t="n"/>
      <c r="I40" s="11">
        <f>IF(N(H40)&gt;0,G40/H40,"")</f>
        <v/>
      </c>
      <c r="J40" s="12" t="n"/>
      <c r="K40">
        <f>IF(A40&gt;$M$3,"",INT((A40+$M$4-2)/7)+1)</f>
        <v/>
      </c>
    </row>
    <row r="41" ht="16" customHeight="1">
      <c r="A41" s="9" t="n">
        <v>31</v>
      </c>
      <c r="B41" s="9">
        <f>IF(A41&gt;$M$3,"",CHOOSE(WEEKDAY(DATE($F$3,$M$1,A41),2),"пн","вт","ср","чт","пт","сб","вс"))</f>
        <v/>
      </c>
      <c r="C41" s="10" t="n"/>
      <c r="D41" s="10" t="n"/>
      <c r="E41" s="10" t="n"/>
      <c r="F41" s="10" t="n"/>
      <c r="G41" s="10" t="n"/>
      <c r="H41" s="10" t="n"/>
      <c r="I41" s="11">
        <f>IF(N(H41)&gt;0,G41/H41,"")</f>
        <v/>
      </c>
      <c r="J41" s="12" t="n"/>
      <c r="K41">
        <f>IF(A41&gt;$M$3,"",INT((A41+$M$4-2)/7)+1)</f>
        <v/>
      </c>
    </row>
    <row r="42" ht="20" customHeight="1">
      <c r="A42" s="13" t="inlineStr">
        <is>
          <t>Итого 5 нед. (29–кон.)</t>
        </is>
      </c>
      <c r="B42" s="14" t="n"/>
      <c r="C42" s="14">
        <f>SUM(C39:C41)</f>
        <v/>
      </c>
      <c r="D42" s="14">
        <f>SUM(D39:D41)</f>
        <v/>
      </c>
      <c r="E42" s="14">
        <f>SUM(E39:E41)</f>
        <v/>
      </c>
      <c r="F42" s="14">
        <f>SUM(F39:F41)</f>
        <v/>
      </c>
      <c r="G42" s="14">
        <f>SUM(G39:G41)</f>
        <v/>
      </c>
      <c r="H42" s="14">
        <f>SUM(H39:H41)</f>
        <v/>
      </c>
      <c r="I42" s="15">
        <f>IF(H42&gt;0,G42/H42,"")</f>
        <v/>
      </c>
      <c r="J42" s="13">
        <f>G42&amp;" – "&amp;H42&amp;IF(H42&gt;0,"  ("&amp;TEXT(I42,"0.0%")&amp;")","")</f>
        <v/>
      </c>
    </row>
    <row r="43" ht="24" customHeight="1">
      <c r="A43" s="16" t="inlineStr">
        <is>
          <t>ИТОГО за месяц</t>
        </is>
      </c>
      <c r="B43" s="17" t="n"/>
      <c r="C43" s="17">
        <f>C14+C22+C30+C38+C42</f>
        <v/>
      </c>
      <c r="D43" s="17">
        <f>D14+D22+D30+D38+D42</f>
        <v/>
      </c>
      <c r="E43" s="17">
        <f>E14+E22+E30+E38+E42</f>
        <v/>
      </c>
      <c r="F43" s="17">
        <f>F14+F22+F30+F38+F42</f>
        <v/>
      </c>
      <c r="G43" s="17">
        <f>G14+G22+G30+G38+G42</f>
        <v/>
      </c>
      <c r="H43" s="17">
        <f>H14+H22+H30+H38+H42</f>
        <v/>
      </c>
      <c r="I43" s="18">
        <f>IF(H43&gt;0,G43/H43,"")</f>
        <v/>
      </c>
      <c r="J43" s="16">
        <f>G43&amp;" – "&amp;H43&amp;IF(H43&gt;0,"  ("&amp;TEXT(I43,"0.0%")&amp;")","")</f>
        <v/>
      </c>
    </row>
    <row r="45">
      <c r="A45" s="2" t="inlineStr">
        <is>
          <t>Итоги по календарным неделям (пн–вс) — считаются автоматически</t>
        </is>
      </c>
    </row>
    <row r="46" ht="28" customHeight="1">
      <c r="A46" s="5" t="inlineStr">
        <is>
          <t>Неделя</t>
        </is>
      </c>
      <c r="B46" s="5" t="inlineStr">
        <is>
          <t>Дни</t>
        </is>
      </c>
      <c r="C46" s="5" t="inlineStr">
        <is>
          <t>Записано</t>
        </is>
      </c>
      <c r="D46" s="5" t="inlineStr">
        <is>
          <t>Пришло</t>
        </is>
      </c>
      <c r="E46" s="5" t="inlineStr">
        <is>
          <t>Первичных</t>
        </is>
      </c>
      <c r="F46" s="5" t="inlineStr">
        <is>
          <t>Платно</t>
        </is>
      </c>
      <c r="G46" s="5" t="inlineStr">
        <is>
          <t>Купили из пробных</t>
        </is>
      </c>
      <c r="H46" s="5" t="inlineStr">
        <is>
          <t>Пробных всего</t>
        </is>
      </c>
      <c r="I46" s="5" t="inlineStr">
        <is>
          <t>Конверсия, %</t>
        </is>
      </c>
      <c r="J46" s="5" t="inlineStr">
        <is>
          <t>Конверсия (x – y)</t>
        </is>
      </c>
    </row>
    <row r="47">
      <c r="A47" s="9" t="n">
        <v>1</v>
      </c>
      <c r="B47" s="9">
        <f>IF(MAX(1,1*7-$M$4-5)&gt;$M$3,"",MAX(1,1*7-$M$4-5)&amp;"–"&amp;MIN($M$3,1*7-$M$4+1))</f>
        <v/>
      </c>
      <c r="C47" s="9">
        <f>IF($B47="","",SUMIFS($C$7:$C$42,$K$7:$K$42,$A47))</f>
        <v/>
      </c>
      <c r="D47" s="9">
        <f>IF($B47="","",SUMIFS($D$7:$D$42,$K$7:$K$42,$A47))</f>
        <v/>
      </c>
      <c r="E47" s="9">
        <f>IF($B47="","",SUMIFS($E$7:$E$42,$K$7:$K$42,$A47))</f>
        <v/>
      </c>
      <c r="F47" s="9">
        <f>IF($B47="","",SUMIFS($F$7:$F$42,$K$7:$K$42,$A47))</f>
        <v/>
      </c>
      <c r="G47" s="9">
        <f>IF($B47="","",SUMIFS($G$7:$G$42,$K$7:$K$42,$A47))</f>
        <v/>
      </c>
      <c r="H47" s="9">
        <f>IF($B47="","",SUMIFS($H$7:$H$42,$K$7:$K$42,$A47))</f>
        <v/>
      </c>
      <c r="I47" s="19">
        <f>IF($B47="","",IF(N(H47)&gt;0,G47/H47,""))</f>
        <v/>
      </c>
      <c r="J47" s="9">
        <f>IF($B47="","",G47&amp;" – "&amp;H47)</f>
        <v/>
      </c>
    </row>
    <row r="48">
      <c r="A48" s="9" t="n">
        <v>2</v>
      </c>
      <c r="B48" s="9">
        <f>IF(MAX(1,2*7-$M$4-5)&gt;$M$3,"",MAX(1,2*7-$M$4-5)&amp;"–"&amp;MIN($M$3,2*7-$M$4+1))</f>
        <v/>
      </c>
      <c r="C48" s="9">
        <f>IF($B48="","",SUMIFS($C$7:$C$42,$K$7:$K$42,$A48))</f>
        <v/>
      </c>
      <c r="D48" s="9">
        <f>IF($B48="","",SUMIFS($D$7:$D$42,$K$7:$K$42,$A48))</f>
        <v/>
      </c>
      <c r="E48" s="9">
        <f>IF($B48="","",SUMIFS($E$7:$E$42,$K$7:$K$42,$A48))</f>
        <v/>
      </c>
      <c r="F48" s="9">
        <f>IF($B48="","",SUMIFS($F$7:$F$42,$K$7:$K$42,$A48))</f>
        <v/>
      </c>
      <c r="G48" s="9">
        <f>IF($B48="","",SUMIFS($G$7:$G$42,$K$7:$K$42,$A48))</f>
        <v/>
      </c>
      <c r="H48" s="9">
        <f>IF($B48="","",SUMIFS($H$7:$H$42,$K$7:$K$42,$A48))</f>
        <v/>
      </c>
      <c r="I48" s="19">
        <f>IF($B48="","",IF(N(H48)&gt;0,G48/H48,""))</f>
        <v/>
      </c>
      <c r="J48" s="9">
        <f>IF($B48="","",G48&amp;" – "&amp;H48)</f>
        <v/>
      </c>
    </row>
    <row r="49">
      <c r="A49" s="9" t="n">
        <v>3</v>
      </c>
      <c r="B49" s="9">
        <f>IF(MAX(1,3*7-$M$4-5)&gt;$M$3,"",MAX(1,3*7-$M$4-5)&amp;"–"&amp;MIN($M$3,3*7-$M$4+1))</f>
        <v/>
      </c>
      <c r="C49" s="9">
        <f>IF($B49="","",SUMIFS($C$7:$C$42,$K$7:$K$42,$A49))</f>
        <v/>
      </c>
      <c r="D49" s="9">
        <f>IF($B49="","",SUMIFS($D$7:$D$42,$K$7:$K$42,$A49))</f>
        <v/>
      </c>
      <c r="E49" s="9">
        <f>IF($B49="","",SUMIFS($E$7:$E$42,$K$7:$K$42,$A49))</f>
        <v/>
      </c>
      <c r="F49" s="9">
        <f>IF($B49="","",SUMIFS($F$7:$F$42,$K$7:$K$42,$A49))</f>
        <v/>
      </c>
      <c r="G49" s="9">
        <f>IF($B49="","",SUMIFS($G$7:$G$42,$K$7:$K$42,$A49))</f>
        <v/>
      </c>
      <c r="H49" s="9">
        <f>IF($B49="","",SUMIFS($H$7:$H$42,$K$7:$K$42,$A49))</f>
        <v/>
      </c>
      <c r="I49" s="19">
        <f>IF($B49="","",IF(N(H49)&gt;0,G49/H49,""))</f>
        <v/>
      </c>
      <c r="J49" s="9">
        <f>IF($B49="","",G49&amp;" – "&amp;H49)</f>
        <v/>
      </c>
    </row>
    <row r="50">
      <c r="A50" s="9" t="n">
        <v>4</v>
      </c>
      <c r="B50" s="9">
        <f>IF(MAX(1,4*7-$M$4-5)&gt;$M$3,"",MAX(1,4*7-$M$4-5)&amp;"–"&amp;MIN($M$3,4*7-$M$4+1))</f>
        <v/>
      </c>
      <c r="C50" s="9">
        <f>IF($B50="","",SUMIFS($C$7:$C$42,$K$7:$K$42,$A50))</f>
        <v/>
      </c>
      <c r="D50" s="9">
        <f>IF($B50="","",SUMIFS($D$7:$D$42,$K$7:$K$42,$A50))</f>
        <v/>
      </c>
      <c r="E50" s="9">
        <f>IF($B50="","",SUMIFS($E$7:$E$42,$K$7:$K$42,$A50))</f>
        <v/>
      </c>
      <c r="F50" s="9">
        <f>IF($B50="","",SUMIFS($F$7:$F$42,$K$7:$K$42,$A50))</f>
        <v/>
      </c>
      <c r="G50" s="9">
        <f>IF($B50="","",SUMIFS($G$7:$G$42,$K$7:$K$42,$A50))</f>
        <v/>
      </c>
      <c r="H50" s="9">
        <f>IF($B50="","",SUMIFS($H$7:$H$42,$K$7:$K$42,$A50))</f>
        <v/>
      </c>
      <c r="I50" s="19">
        <f>IF($B50="","",IF(N(H50)&gt;0,G50/H50,""))</f>
        <v/>
      </c>
      <c r="J50" s="9">
        <f>IF($B50="","",G50&amp;" – "&amp;H50)</f>
        <v/>
      </c>
    </row>
    <row r="51">
      <c r="A51" s="9" t="n">
        <v>5</v>
      </c>
      <c r="B51" s="9">
        <f>IF(MAX(1,5*7-$M$4-5)&gt;$M$3,"",MAX(1,5*7-$M$4-5)&amp;"–"&amp;MIN($M$3,5*7-$M$4+1))</f>
        <v/>
      </c>
      <c r="C51" s="9">
        <f>IF($B51="","",SUMIFS($C$7:$C$42,$K$7:$K$42,$A51))</f>
        <v/>
      </c>
      <c r="D51" s="9">
        <f>IF($B51="","",SUMIFS($D$7:$D$42,$K$7:$K$42,$A51))</f>
        <v/>
      </c>
      <c r="E51" s="9">
        <f>IF($B51="","",SUMIFS($E$7:$E$42,$K$7:$K$42,$A51))</f>
        <v/>
      </c>
      <c r="F51" s="9">
        <f>IF($B51="","",SUMIFS($F$7:$F$42,$K$7:$K$42,$A51))</f>
        <v/>
      </c>
      <c r="G51" s="9">
        <f>IF($B51="","",SUMIFS($G$7:$G$42,$K$7:$K$42,$A51))</f>
        <v/>
      </c>
      <c r="H51" s="9">
        <f>IF($B51="","",SUMIFS($H$7:$H$42,$K$7:$K$42,$A51))</f>
        <v/>
      </c>
      <c r="I51" s="19">
        <f>IF($B51="","",IF(N(H51)&gt;0,G51/H51,""))</f>
        <v/>
      </c>
      <c r="J51" s="9">
        <f>IF($B51="","",G51&amp;" – "&amp;H51)</f>
        <v/>
      </c>
    </row>
    <row r="52">
      <c r="A52" s="9" t="n">
        <v>6</v>
      </c>
      <c r="B52" s="9">
        <f>IF(MAX(1,6*7-$M$4-5)&gt;$M$3,"",MAX(1,6*7-$M$4-5)&amp;"–"&amp;MIN($M$3,6*7-$M$4+1))</f>
        <v/>
      </c>
      <c r="C52" s="9">
        <f>IF($B52="","",SUMIFS($C$7:$C$42,$K$7:$K$42,$A52))</f>
        <v/>
      </c>
      <c r="D52" s="9">
        <f>IF($B52="","",SUMIFS($D$7:$D$42,$K$7:$K$42,$A52))</f>
        <v/>
      </c>
      <c r="E52" s="9">
        <f>IF($B52="","",SUMIFS($E$7:$E$42,$K$7:$K$42,$A52))</f>
        <v/>
      </c>
      <c r="F52" s="9">
        <f>IF($B52="","",SUMIFS($F$7:$F$42,$K$7:$K$42,$A52))</f>
        <v/>
      </c>
      <c r="G52" s="9">
        <f>IF($B52="","",SUMIFS($G$7:$G$42,$K$7:$K$42,$A52))</f>
        <v/>
      </c>
      <c r="H52" s="9">
        <f>IF($B52="","",SUMIFS($H$7:$H$42,$K$7:$K$42,$A52))</f>
        <v/>
      </c>
      <c r="I52" s="19">
        <f>IF($B52="","",IF(N(H52)&gt;0,G52/H52,""))</f>
        <v/>
      </c>
      <c r="J52" s="9">
        <f>IF($B52="","",G52&amp;" – "&amp;H52)</f>
        <v/>
      </c>
    </row>
  </sheetData>
  <mergeCells count="22">
    <mergeCell ref="E5:E6"/>
    <mergeCell ref="A30:B30"/>
    <mergeCell ref="G2:H2"/>
    <mergeCell ref="I2:J2"/>
    <mergeCell ref="F5:F6"/>
    <mergeCell ref="G5:I5"/>
    <mergeCell ref="A3:B3"/>
    <mergeCell ref="A5:A6"/>
    <mergeCell ref="A1:J1"/>
    <mergeCell ref="A45:J45"/>
    <mergeCell ref="A2:B2"/>
    <mergeCell ref="A42:B42"/>
    <mergeCell ref="A14:B14"/>
    <mergeCell ref="B5:B6"/>
    <mergeCell ref="A22:B22"/>
    <mergeCell ref="D5:D6"/>
    <mergeCell ref="A38:B38"/>
    <mergeCell ref="J5:J6"/>
    <mergeCell ref="A43:B43"/>
    <mergeCell ref="C2:F2"/>
    <mergeCell ref="C3:D3"/>
    <mergeCell ref="C5:C6"/>
  </mergeCells>
  <conditionalFormatting sqref="A7:J42">
    <cfRule type="expression" priority="1" dxfId="0">
      <formula>AND(ISNUMBER($A7),$A7&gt;$M$3)</formula>
    </cfRule>
    <cfRule type="expression" priority="2" dxfId="1">
      <formula>AND(ISNUMBER($A7),$B7="вс")</formula>
    </cfRule>
  </conditionalFormatting>
  <conditionalFormatting sqref="G7:H42">
    <cfRule type="expression" priority="3" dxfId="2">
      <formula>AND(ISNUMBER($A7),N($G7)&gt;N($H7))</formula>
    </cfRule>
  </conditionalFormatting>
  <dataValidations count="2">
    <dataValidation sqref="C3" showDropDown="0" showInputMessage="0" showErrorMessage="0" allowBlank="0" type="list">
      <formula1>"Январь,Февраль,Март,Апрель,Май,Июнь,Июль,Август,Сентябрь,Октябрь,Ноябрь,Декабрь"</formula1>
    </dataValidation>
    <dataValidation sqref="F3" showDropDown="0" showInputMessage="0" showErrorMessage="0" allowBlank="0" type="whole" operator="between">
      <formula1>2020</formula1>
      <formula2>2100</formula2>
    </dataValidation>
  </dataValidations>
  <printOptions horizontalCentered="1"/>
  <pageMargins left="0.4" right="0.4" top="0.5" bottom="0.5" header="0.5" footer="0.5"/>
  <pageSetup orientation="portrait" paperSize="9" fitToHeight="0" fitToWidth="1"/>
  <headerFooter>
    <oddHeader/>
    <oddFooter>&amp;CСтр. &amp;P из &amp;N&amp;RПодпись медсестры: ____________</oddFooter>
    <evenHeader/>
    <evenFooter/>
    <firstHeader/>
    <firstFooter/>
  </headerFooter>
  <rowBreaks count="1" manualBreakCount="1">
    <brk id="44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2026-10-31T17:20:09Z</dcterms:created>
  <dcterms:modified xmlns:dcterms="http://purl.org/dc/terms/" xmlns:xsi="http://www.w3.org/2001/XMLSchema-instance" xsi:type="dcterms:W3CDTF">2026-10-31T17:20:09Z</dcterms:modified>
</cp:coreProperties>
</file>